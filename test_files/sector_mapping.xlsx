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ahil\portfolio analyzer\test_files\"/>
    </mc:Choice>
  </mc:AlternateContent>
  <bookViews>
    <workbookView xWindow="0" yWindow="0" windowWidth="28800" windowHeight="12180"/>
  </bookViews>
  <sheets>
    <sheet name="Sector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D43" i="1"/>
  <c r="D41" i="1"/>
  <c r="D40" i="1"/>
  <c r="D38" i="1"/>
  <c r="D37" i="1"/>
  <c r="D33" i="1"/>
  <c r="D31" i="1"/>
  <c r="D30" i="1"/>
  <c r="D28" i="1"/>
  <c r="D27" i="1"/>
  <c r="D25" i="1"/>
  <c r="D24" i="1"/>
  <c r="D23" i="1"/>
  <c r="D22" i="1"/>
  <c r="D20" i="1"/>
  <c r="D19" i="1"/>
  <c r="D15" i="1"/>
  <c r="D13" i="1"/>
  <c r="D12" i="1"/>
  <c r="D11" i="1"/>
  <c r="D7" i="1"/>
</calcChain>
</file>

<file path=xl/sharedStrings.xml><?xml version="1.0" encoding="utf-8"?>
<sst xmlns="http://schemas.openxmlformats.org/spreadsheetml/2006/main" count="91" uniqueCount="61">
  <si>
    <t>NSE</t>
  </si>
  <si>
    <t>Ace Eq.</t>
  </si>
  <si>
    <t>Mapped NSE</t>
  </si>
  <si>
    <t>Chemicals</t>
  </si>
  <si>
    <t>Abrasives</t>
  </si>
  <si>
    <t>Capital Goods</t>
  </si>
  <si>
    <t>Construction Materials</t>
  </si>
  <si>
    <t>Agri</t>
  </si>
  <si>
    <t>Metals &amp; Mining</t>
  </si>
  <si>
    <t>Alcohol</t>
  </si>
  <si>
    <t>Fast Moving Consumer Goods</t>
  </si>
  <si>
    <t>Forest Materials</t>
  </si>
  <si>
    <t>Automobile &amp; Ancillaries</t>
  </si>
  <si>
    <t>Automobile and Auto Components</t>
  </si>
  <si>
    <t>Aviation</t>
  </si>
  <si>
    <t>Consumer Services</t>
  </si>
  <si>
    <t>Consumer Durables</t>
  </si>
  <si>
    <t>Bank</t>
  </si>
  <si>
    <t>Textiles</t>
  </si>
  <si>
    <t>Business Services</t>
  </si>
  <si>
    <t>Services</t>
  </si>
  <si>
    <t>Media, Entertainment &amp; Publication</t>
  </si>
  <si>
    <t>Realty</t>
  </si>
  <si>
    <t>Oil, Gas &amp; Consumable Fuels</t>
  </si>
  <si>
    <t>Crude Oil</t>
  </si>
  <si>
    <t>Financial Services</t>
  </si>
  <si>
    <t>Diamond &amp; Jewellery</t>
  </si>
  <si>
    <t>Healthcare</t>
  </si>
  <si>
    <t>Diversified</t>
  </si>
  <si>
    <t>Construction</t>
  </si>
  <si>
    <t>Education &amp; Training</t>
  </si>
  <si>
    <t>Electricals</t>
  </si>
  <si>
    <t>Utilities</t>
  </si>
  <si>
    <t>Information Technology</t>
  </si>
  <si>
    <t>Ferro Manganese</t>
  </si>
  <si>
    <t>Finance</t>
  </si>
  <si>
    <t>Telecommunication</t>
  </si>
  <si>
    <t>FMCG</t>
  </si>
  <si>
    <t>Power</t>
  </si>
  <si>
    <t>Gas Transmission</t>
  </si>
  <si>
    <t>Hospitality</t>
  </si>
  <si>
    <t>Inds. Gases &amp; Fuels</t>
  </si>
  <si>
    <t>Infrastructure</t>
  </si>
  <si>
    <t>Insurance</t>
  </si>
  <si>
    <t>Iron &amp; Steel</t>
  </si>
  <si>
    <t>IT</t>
  </si>
  <si>
    <t>Logistics</t>
  </si>
  <si>
    <t>Media &amp; Entertainment</t>
  </si>
  <si>
    <t>Mining</t>
  </si>
  <si>
    <t>Miscellaneous</t>
  </si>
  <si>
    <t>Non - Ferrous Metals</t>
  </si>
  <si>
    <t>Others</t>
  </si>
  <si>
    <t>Paper</t>
  </si>
  <si>
    <t>Photographic Product</t>
  </si>
  <si>
    <t>Plastic Products</t>
  </si>
  <si>
    <t>Ratings</t>
  </si>
  <si>
    <t>Retailing</t>
  </si>
  <si>
    <t>Ship Building</t>
  </si>
  <si>
    <t>Telecom</t>
  </si>
  <si>
    <t>Textile</t>
  </si>
  <si>
    <t>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</si>
</sst>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rgb="FF0061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Fo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D38" sqref="D38"/>
    </sheetView>
  </sheetViews>
  <sheetFormatPr defaultColWidth="9" defaultRowHeight="15"/>
  <cols>
    <col min="1" max="1" width="30.7109375" customWidth="1"/>
    <col min="2" max="2" width="20.85546875" customWidth="1"/>
    <col min="3" max="3" width="28.140625" customWidth="1"/>
    <col min="4" max="4" width="43.5703125" customWidth="1"/>
  </cols>
  <sheetData>
    <row r="1" spans="1:4">
      <c r="A1" s="1" t="s">
        <v>0</v>
      </c>
      <c r="B1" s="1"/>
      <c r="C1" s="1" t="s">
        <v>1</v>
      </c>
      <c r="D1" s="1" t="s">
        <v>2</v>
      </c>
    </row>
    <row r="2" spans="1:4">
      <c r="A2" t="s">
        <v>3</v>
      </c>
      <c r="C2" t="s">
        <v>4</v>
      </c>
      <c r="D2" t="s">
        <v>5</v>
      </c>
    </row>
    <row r="3" spans="1:4">
      <c r="A3" t="s">
        <v>6</v>
      </c>
      <c r="C3" t="s">
        <v>7</v>
      </c>
      <c r="D3" t="s">
        <v>3</v>
      </c>
    </row>
    <row r="4" spans="1:4">
      <c r="A4" t="s">
        <v>8</v>
      </c>
      <c r="C4" t="s">
        <v>9</v>
      </c>
      <c r="D4" t="s">
        <v>10</v>
      </c>
    </row>
    <row r="5" spans="1:4">
      <c r="A5" t="s">
        <v>11</v>
      </c>
      <c r="C5" t="s">
        <v>12</v>
      </c>
      <c r="D5" t="s">
        <v>13</v>
      </c>
    </row>
    <row r="6" spans="1:4">
      <c r="A6" t="s">
        <v>13</v>
      </c>
      <c r="C6" t="s">
        <v>14</v>
      </c>
      <c r="D6" t="s">
        <v>15</v>
      </c>
    </row>
    <row r="7" spans="1:4">
      <c r="A7" t="s">
        <v>16</v>
      </c>
      <c r="C7" t="s">
        <v>17</v>
      </c>
      <c r="D7" t="str">
        <f>A14</f>
        <v>Financial Services</v>
      </c>
    </row>
    <row r="8" spans="1:4">
      <c r="A8" t="s">
        <v>18</v>
      </c>
      <c r="C8" t="s">
        <v>19</v>
      </c>
      <c r="D8" t="s">
        <v>20</v>
      </c>
    </row>
    <row r="9" spans="1:4">
      <c r="A9" t="s">
        <v>21</v>
      </c>
      <c r="C9" t="s">
        <v>5</v>
      </c>
      <c r="D9" t="s">
        <v>5</v>
      </c>
    </row>
    <row r="10" spans="1:4">
      <c r="A10" t="s">
        <v>22</v>
      </c>
      <c r="C10" t="s">
        <v>3</v>
      </c>
      <c r="D10" t="s">
        <v>3</v>
      </c>
    </row>
    <row r="11" spans="1:4">
      <c r="A11" t="s">
        <v>15</v>
      </c>
      <c r="C11" t="s">
        <v>6</v>
      </c>
      <c r="D11" t="str">
        <f>A3</f>
        <v>Construction Materials</v>
      </c>
    </row>
    <row r="12" spans="1:4">
      <c r="A12" t="s">
        <v>23</v>
      </c>
      <c r="C12" t="s">
        <v>16</v>
      </c>
      <c r="D12" t="str">
        <f>A7</f>
        <v>Consumer Durables</v>
      </c>
    </row>
    <row r="13" spans="1:4">
      <c r="A13" t="s">
        <v>10</v>
      </c>
      <c r="C13" t="s">
        <v>24</v>
      </c>
      <c r="D13" t="str">
        <f>A12</f>
        <v>Oil, Gas &amp; Consumable Fuels</v>
      </c>
    </row>
    <row r="14" spans="1:4">
      <c r="A14" t="s">
        <v>25</v>
      </c>
      <c r="C14" t="s">
        <v>26</v>
      </c>
      <c r="D14" t="s">
        <v>16</v>
      </c>
    </row>
    <row r="15" spans="1:4">
      <c r="A15" t="s">
        <v>27</v>
      </c>
      <c r="C15" t="s">
        <v>28</v>
      </c>
      <c r="D15" t="str">
        <f>A23</f>
        <v>Diversified</v>
      </c>
    </row>
    <row r="16" spans="1:4">
      <c r="A16" t="s">
        <v>29</v>
      </c>
      <c r="C16" t="s">
        <v>30</v>
      </c>
      <c r="D16" t="s">
        <v>20</v>
      </c>
    </row>
    <row r="17" spans="1:4">
      <c r="A17" t="s">
        <v>5</v>
      </c>
      <c r="C17" t="s">
        <v>31</v>
      </c>
      <c r="D17" t="s">
        <v>32</v>
      </c>
    </row>
    <row r="18" spans="1:4">
      <c r="A18" t="s">
        <v>33</v>
      </c>
      <c r="C18" t="s">
        <v>34</v>
      </c>
      <c r="D18" t="s">
        <v>8</v>
      </c>
    </row>
    <row r="19" spans="1:4">
      <c r="A19" t="s">
        <v>20</v>
      </c>
      <c r="C19" t="s">
        <v>35</v>
      </c>
      <c r="D19" t="str">
        <f>A14</f>
        <v>Financial Services</v>
      </c>
    </row>
    <row r="20" spans="1:4">
      <c r="A20" t="s">
        <v>36</v>
      </c>
      <c r="C20" t="s">
        <v>37</v>
      </c>
      <c r="D20" t="str">
        <f>A13</f>
        <v>Fast Moving Consumer Goods</v>
      </c>
    </row>
    <row r="21" spans="1:4">
      <c r="A21" t="s">
        <v>38</v>
      </c>
      <c r="C21" t="s">
        <v>39</v>
      </c>
      <c r="D21" t="s">
        <v>32</v>
      </c>
    </row>
    <row r="22" spans="1:4">
      <c r="A22" t="s">
        <v>32</v>
      </c>
      <c r="C22" t="s">
        <v>27</v>
      </c>
      <c r="D22" t="str">
        <f>A15</f>
        <v>Healthcare</v>
      </c>
    </row>
    <row r="23" spans="1:4">
      <c r="A23" t="s">
        <v>28</v>
      </c>
      <c r="C23" t="s">
        <v>40</v>
      </c>
      <c r="D23" t="str">
        <f>A11</f>
        <v>Consumer Services</v>
      </c>
    </row>
    <row r="24" spans="1:4">
      <c r="C24" t="s">
        <v>41</v>
      </c>
      <c r="D24" t="str">
        <f>A12</f>
        <v>Oil, Gas &amp; Consumable Fuels</v>
      </c>
    </row>
    <row r="25" spans="1:4">
      <c r="C25" t="s">
        <v>42</v>
      </c>
      <c r="D25" t="str">
        <f>A19</f>
        <v>Services</v>
      </c>
    </row>
    <row r="26" spans="1:4">
      <c r="C26" t="s">
        <v>43</v>
      </c>
      <c r="D26" t="s">
        <v>25</v>
      </c>
    </row>
    <row r="27" spans="1:4">
      <c r="C27" t="s">
        <v>44</v>
      </c>
      <c r="D27" t="str">
        <f>A4</f>
        <v>Metals &amp; Mining</v>
      </c>
    </row>
    <row r="28" spans="1:4">
      <c r="C28" t="s">
        <v>45</v>
      </c>
      <c r="D28" t="str">
        <f>A18</f>
        <v>Information Technology</v>
      </c>
    </row>
    <row r="29" spans="1:4">
      <c r="C29" t="s">
        <v>46</v>
      </c>
      <c r="D29" t="s">
        <v>20</v>
      </c>
    </row>
    <row r="30" spans="1:4">
      <c r="C30" t="s">
        <v>47</v>
      </c>
      <c r="D30" t="str">
        <f>A9</f>
        <v>Media, Entertainment &amp; Publication</v>
      </c>
    </row>
    <row r="31" spans="1:4">
      <c r="C31" t="s">
        <v>48</v>
      </c>
      <c r="D31" t="str">
        <f>A4</f>
        <v>Metals &amp; Mining</v>
      </c>
    </row>
    <row r="32" spans="1:4">
      <c r="C32" t="s">
        <v>49</v>
      </c>
      <c r="D32" t="s">
        <v>28</v>
      </c>
    </row>
    <row r="33" spans="3:4">
      <c r="C33" t="s">
        <v>50</v>
      </c>
      <c r="D33" t="str">
        <f>A4</f>
        <v>Metals &amp; Mining</v>
      </c>
    </row>
    <row r="34" spans="3:4">
      <c r="C34" t="s">
        <v>51</v>
      </c>
      <c r="D34" t="s">
        <v>28</v>
      </c>
    </row>
    <row r="35" spans="3:4">
      <c r="C35" t="s">
        <v>52</v>
      </c>
      <c r="D35" t="s">
        <v>11</v>
      </c>
    </row>
    <row r="36" spans="3:4">
      <c r="C36" t="s">
        <v>53</v>
      </c>
      <c r="D36" t="s">
        <v>21</v>
      </c>
    </row>
    <row r="37" spans="3:4">
      <c r="C37" t="s">
        <v>54</v>
      </c>
      <c r="D37" t="str">
        <f>A17</f>
        <v>Capital Goods</v>
      </c>
    </row>
    <row r="38" spans="3:4">
      <c r="C38" t="s">
        <v>38</v>
      </c>
      <c r="D38" t="str">
        <f>A21</f>
        <v>Power</v>
      </c>
    </row>
    <row r="39" spans="3:4">
      <c r="C39" t="s">
        <v>55</v>
      </c>
      <c r="D39" t="s">
        <v>20</v>
      </c>
    </row>
    <row r="40" spans="3:4">
      <c r="C40" t="s">
        <v>22</v>
      </c>
      <c r="D40" t="str">
        <f>A10</f>
        <v>Realty</v>
      </c>
    </row>
    <row r="41" spans="3:4">
      <c r="C41" t="s">
        <v>56</v>
      </c>
      <c r="D41" t="str">
        <f>A11</f>
        <v>Consumer Services</v>
      </c>
    </row>
    <row r="42" spans="3:4">
      <c r="C42" t="s">
        <v>57</v>
      </c>
      <c r="D42" t="s">
        <v>5</v>
      </c>
    </row>
    <row r="43" spans="3:4">
      <c r="C43" t="s">
        <v>58</v>
      </c>
      <c r="D43" t="str">
        <f>A20</f>
        <v>Telecommunication</v>
      </c>
    </row>
    <row r="44" spans="3:4">
      <c r="C44" t="s">
        <v>59</v>
      </c>
      <c r="D44" t="str">
        <f>A8</f>
        <v>Textiles</v>
      </c>
    </row>
    <row r="45" spans="3:4">
      <c r="C45" t="s">
        <v>60</v>
      </c>
      <c r="D45" t="s">
        <v>28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2026-07-14T06:04:00Z</dcterms:created>
  <dcterms:modified xsi:type="dcterms:W3CDTF">2026-07-16T09:55:08Z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774F4EB6FD9C4CE7BC7346370444E959_12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